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pam\Documents\Claude\Projects\Brand Rupam\MODON\modon-ai-programme\data\day2\inputs\"/>
    </mc:Choice>
  </mc:AlternateContent>
  <xr:revisionPtr revIDLastSave="0" documentId="13_ncr:1_{C329606D-7999-4C35-8472-E3C559600665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Register" sheetId="1" r:id="rId1"/>
  </sheets>
  <calcPr calcId="181029"/>
</workbook>
</file>

<file path=xl/calcChain.xml><?xml version="1.0" encoding="utf-8"?>
<calcChain xmlns="http://schemas.openxmlformats.org/spreadsheetml/2006/main">
  <c r="G27" i="1" l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Register</author>
  </authors>
  <commentList>
    <comment ref="D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Spoken in meeting: "not stated". Proposed date - to confirm with owner.</t>
        </r>
      </text>
    </comment>
    <comment ref="D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Spoken in meeting: "August pack". Proposed date - to confirm with owner.</t>
        </r>
      </text>
    </comment>
    <comment ref="D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Spoken in meeting: "October".</t>
        </r>
      </text>
    </comment>
    <comment ref="D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Spoken in meeting: "mid-September".</t>
        </r>
      </text>
    </comment>
    <comment ref="D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Spoken in meeting: "Friday".</t>
        </r>
      </text>
    </comment>
    <comment ref="D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Spoken in meeting: "end of next week".</t>
        </r>
      </text>
    </comment>
    <comment ref="D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Spoken in meeting: "not stated". Proposed date - to confirm with owner.</t>
        </r>
      </text>
    </comment>
    <comment ref="D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Spoken in meeting: "not stated". Proposed date - to confirm with owner.</t>
        </r>
      </text>
    </comment>
    <comment ref="D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Spoken in meeting: "not stated". Proposed date - to confirm with owner.</t>
        </r>
      </text>
    </comment>
    <comment ref="D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Spoken in meeting: "August pack". Proposed date - to confirm with owner.</t>
        </r>
      </text>
    </comment>
    <comment ref="D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Spoken in meeting: "not stated". Proposed date - to confirm with owner.</t>
        </r>
      </text>
    </comment>
    <comment ref="D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Spoken in meeting: "not stated". Proposed date - to confirm with owner.</t>
        </r>
      </text>
    </comment>
    <comment ref="D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Spoken in meeting: "not stated".</t>
        </r>
      </text>
    </comment>
    <comment ref="D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Spoken in meeting: "not stated". Proposed date - to confirm with owner.</t>
        </r>
      </text>
    </comment>
    <comment ref="D1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Spoken in meeting: "3 September announcement".</t>
        </r>
      </text>
    </comment>
    <comment ref="D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Spoken in meeting: "after 3 September".</t>
        </r>
      </text>
    </comment>
    <comment ref="D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Spoken in meeting: "Monday".</t>
        </r>
      </text>
    </comment>
    <comment ref="D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Spoken in meeting: "before Monday".</t>
        </r>
      </text>
    </comment>
    <comment ref="D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Spoken in meeting: "Q1".</t>
        </r>
      </text>
    </comment>
    <comment ref="D2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Spoken in meeting: "this week".</t>
        </r>
      </text>
    </comment>
    <comment ref="D2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Spoken in meeting: "not stated". Proposed date - to confirm with owner.</t>
        </r>
      </text>
    </comment>
    <comment ref="D2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Spoken in meeting: "not stated". Proposed date - to confirm with owner.</t>
        </r>
      </text>
    </comment>
    <comment ref="D24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Spoken in meeting: "4 September".</t>
        </r>
      </text>
    </comment>
    <comment ref="D25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Spoken in meeting: "11 September".</t>
        </r>
      </text>
    </comment>
    <comment ref="D2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Spoken in meeting: "tomorrow".</t>
        </r>
      </text>
    </comment>
    <comment ref="D27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Spoken in meeting: "not stated". Proposed date - to confirm with owner.</t>
        </r>
      </text>
    </comment>
  </commentList>
</comments>
</file>

<file path=xl/sharedStrings.xml><?xml version="1.0" encoding="utf-8"?>
<sst xmlns="http://schemas.openxmlformats.org/spreadsheetml/2006/main" count="173" uniqueCount="91">
  <si>
    <t>id</t>
  </si>
  <si>
    <t>action</t>
  </si>
  <si>
    <t>owner</t>
  </si>
  <si>
    <t>date</t>
  </si>
  <si>
    <t>said_by</t>
  </si>
  <si>
    <t>status</t>
  </si>
  <si>
    <t>days_open</t>
  </si>
  <si>
    <t>flag</t>
  </si>
  <si>
    <t>record</t>
  </si>
  <si>
    <t>A-01</t>
  </si>
  <si>
    <t>Reconcile July CD2 handovers: separate provisional from final (system shows 94%; treat with caution until reconciled)</t>
  </si>
  <si>
    <t>Yusuf</t>
  </si>
  <si>
    <t>open</t>
  </si>
  <si>
    <t>minutes</t>
  </si>
  <si>
    <t>A-02</t>
  </si>
  <si>
    <t>Add available-room occupancy to the monthly pack alongside the headline figure</t>
  </si>
  <si>
    <t>Layla</t>
  </si>
  <si>
    <t>A-03</t>
  </si>
  <si>
    <t>Spa relaunch brought forward to October (decision struck later in meeting, see A-19)</t>
  </si>
  <si>
    <t>Priya</t>
  </si>
  <si>
    <t>done</t>
  </si>
  <si>
    <t>struck</t>
  </si>
  <si>
    <t>DO NOT RECORD — Layla: "Aisha, strike the October decision, the spa relaunch is Q1, unchanged"</t>
  </si>
  <si>
    <t>A-04</t>
  </si>
  <si>
    <t>Produce venue exhibitor briefing pack for October medical congress (210 exhibitors)</t>
  </si>
  <si>
    <t>unassigned</t>
  </si>
  <si>
    <t>James</t>
  </si>
  <si>
    <t>A-05</t>
  </si>
  <si>
    <t>Confirm owner for the exhibitor briefing pack</t>
  </si>
  <si>
    <t>A-06</t>
  </si>
  <si>
    <t>Meet the traffic consultant and bring an option on east car park use (congress coaches vs leisure park Saturday overflow)</t>
  </si>
  <si>
    <t>James and Noura</t>
  </si>
  <si>
    <t>A-07</t>
  </si>
  <si>
    <t>Send leisure park traffic plan drawings to James and Noura</t>
  </si>
  <si>
    <t>Marco</t>
  </si>
  <si>
    <t>A-08</t>
  </si>
  <si>
    <t>Chase facilities on staff shuttle timetable (08:15 from north gate leaving at 08:10)</t>
  </si>
  <si>
    <t>Noura</t>
  </si>
  <si>
    <t>DO NOT RECORD — Layla: "I'm not putting any of it in the minutes because none of it's a delivery matter."</t>
  </si>
  <si>
    <t>A-09</t>
  </si>
  <si>
    <t>Chase parking permit renewal system outage</t>
  </si>
  <si>
    <t>Omar</t>
  </si>
  <si>
    <t>A-10</t>
  </si>
  <si>
    <t>Footnote leisure park reactive maintenance tickets (up 60% due to new CMMS logging everything; like-for-like roughly flat)</t>
  </si>
  <si>
    <t>A-11</t>
  </si>
  <si>
    <t>Independent root-cause assessment of chiller three at the wave pool (failed three times since June)</t>
  </si>
  <si>
    <t>A-12</t>
  </si>
  <si>
    <t>Speak to procurement to review the M&amp;E contract and chiller three ticket history</t>
  </si>
  <si>
    <t>internal-only — Layla limited the notes to A-11 only: "What goes in the notes is that chiller three has recurred three times and the root cause needs an independent assessment. That's it."</t>
  </si>
  <si>
    <t>A-13</t>
  </si>
  <si>
    <t>Noura's view that the M&amp;E contractor is patching rather than replacing chiller three to protect its maintenance-contract margin</t>
  </si>
  <si>
    <t>n/a</t>
  </si>
  <si>
    <t>not an action</t>
  </si>
  <si>
    <t>DO NOT RECORD — Layla: "Aisha, that last part does not go in the notes. Not the bit about the contractor's motive."</t>
  </si>
  <si>
    <t>A-14</t>
  </si>
  <si>
    <t>Trial a weekday corporate package at the adventure centre, three months, marketing spend about 40,000 (within Noura's discretionary; noted, not a group decision)</t>
  </si>
  <si>
    <t>A-15</t>
  </si>
  <si>
    <t>Half-year group results figure (Daniel began to state it; no figure was spoken)</t>
  </si>
  <si>
    <t>Daniel</t>
  </si>
  <si>
    <t>DO NOT RECORD — Hana: "The number cannot appear in any written note, internal or external, until it's announced."</t>
  </si>
  <si>
    <t>A-16</t>
  </si>
  <si>
    <t>Segment heads to be available for investor call questions on their segments after the half-year announcement</t>
  </si>
  <si>
    <t>Omar, Priya, James, Noura</t>
  </si>
  <si>
    <t>A-17</t>
  </si>
  <si>
    <t>Circulate investor Q&amp;A prep</t>
  </si>
  <si>
    <t>Hana</t>
  </si>
  <si>
    <t>A-18</t>
  </si>
  <si>
    <t>Tell Hana anything in your segment an analyst might ask about, before the Q&amp;A prep goes out</t>
  </si>
  <si>
    <t>A-19</t>
  </si>
  <si>
    <t>Decision: spa relaunch stays in Q1 as planned (relaunch budget 420,000 phased in Q1)</t>
  </si>
  <si>
    <t>n/a (decision)</t>
  </si>
  <si>
    <t>decision</t>
  </si>
  <si>
    <t>A-20</t>
  </si>
  <si>
    <t>Fix spa booking confirmation system setting (Marco to change it)</t>
  </si>
  <si>
    <t>A-21</t>
  </si>
  <si>
    <t>Move a staff member from the island resort to desert resort spa reception for the refurb period</t>
  </si>
  <si>
    <t>A-22</t>
  </si>
  <si>
    <t>Remove October spa relaunch from the investor narrative; replace with Q1</t>
  </si>
  <si>
    <t>A-23</t>
  </si>
  <si>
    <t>Send draft formal response to CD2 contractor delay and disruption claim (claim value 2.4 million) to Legal</t>
  </si>
  <si>
    <t>A-24</t>
  </si>
  <si>
    <t>Issue formal response to CD2 contractor claim (28 days from receipt)</t>
  </si>
  <si>
    <t>A-25</t>
  </si>
  <si>
    <t>Send draft minutes to Layla first, not to the group</t>
  </si>
  <si>
    <t>Aisha</t>
  </si>
  <si>
    <t>A-26</t>
  </si>
  <si>
    <t>Check and release minutes to the group</t>
  </si>
  <si>
    <t>Legend</t>
  </si>
  <si>
    <t>Blue date = proposed by Delivery Office because the meeting gave no calendar date; confirm with owner. Hover a date for what was actually spoken.</t>
  </si>
  <si>
    <t>Red rule on column G: =AND(ISNUMBER(G2),G2&gt;0) rather than plain "greater than 0", because Excel treats the "" that a done row returns as greater than 0 and would keep it red.</t>
  </si>
  <si>
    <t>Meeting date: 26 August 2026 (Group Delivery Review: August).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</si>
</sst>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color rgb="FF0000FF"/>
      <name val="Arial"/>
    </font>
    <font>
      <sz val="11"/>
      <color theme="1"/>
      <name val="Arial"/>
    </font>
    <font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60" customWidth="1"/>
    <col min="3" max="3" width="22" customWidth="1"/>
    <col min="4" max="4" width="13" customWidth="1"/>
    <col min="5" max="5" width="10" customWidth="1"/>
    <col min="6" max="6" width="9" customWidth="1"/>
    <col min="7" max="7" width="10" customWidth="1"/>
    <col min="8" max="8" width="14" customWidth="1"/>
    <col min="9" max="9" width="6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customHeight="1" x14ac:dyDescent="0.35">
      <c r="A2" s="2" t="s">
        <v>9</v>
      </c>
      <c r="B2" s="3" t="s">
        <v>10</v>
      </c>
      <c r="C2" s="2" t="s">
        <v>11</v>
      </c>
      <c r="D2" s="4">
        <v>46269</v>
      </c>
      <c r="E2" s="2" t="s">
        <v>11</v>
      </c>
      <c r="F2" s="2" t="s">
        <v>12</v>
      </c>
      <c r="G2" s="2">
        <f t="shared" ref="G2:G27" ca="1" si="0">IF(F2="done", "", TODAY()-D2)</f>
        <v>13</v>
      </c>
      <c r="H2" s="2"/>
      <c r="I2" s="3" t="s">
        <v>13</v>
      </c>
    </row>
    <row r="3" spans="1:9" ht="28" customHeight="1" x14ac:dyDescent="0.35">
      <c r="A3" s="2" t="s">
        <v>14</v>
      </c>
      <c r="B3" s="3" t="s">
        <v>15</v>
      </c>
      <c r="C3" s="2" t="s">
        <v>11</v>
      </c>
      <c r="D3" s="4">
        <v>46283</v>
      </c>
      <c r="E3" s="2" t="s">
        <v>16</v>
      </c>
      <c r="F3" s="2" t="s">
        <v>12</v>
      </c>
      <c r="G3" s="2">
        <f t="shared" ca="1" si="0"/>
        <v>-1</v>
      </c>
      <c r="H3" s="2"/>
      <c r="I3" s="3" t="s">
        <v>13</v>
      </c>
    </row>
    <row r="4" spans="1:9" ht="28" customHeight="1" x14ac:dyDescent="0.35">
      <c r="A4" s="2" t="s">
        <v>17</v>
      </c>
      <c r="B4" s="3" t="s">
        <v>18</v>
      </c>
      <c r="C4" s="2" t="s">
        <v>19</v>
      </c>
      <c r="D4" s="5">
        <v>46296</v>
      </c>
      <c r="E4" s="2" t="s">
        <v>16</v>
      </c>
      <c r="F4" s="2" t="s">
        <v>20</v>
      </c>
      <c r="G4" s="2" t="str">
        <f t="shared" ca="1" si="0"/>
        <v/>
      </c>
      <c r="H4" s="2" t="s">
        <v>21</v>
      </c>
      <c r="I4" s="3" t="s">
        <v>22</v>
      </c>
    </row>
    <row r="5" spans="1:9" ht="28" customHeight="1" x14ac:dyDescent="0.35">
      <c r="A5" s="2" t="s">
        <v>23</v>
      </c>
      <c r="B5" s="3" t="s">
        <v>24</v>
      </c>
      <c r="C5" s="2" t="s">
        <v>25</v>
      </c>
      <c r="D5" s="5">
        <v>46280</v>
      </c>
      <c r="E5" s="2" t="s">
        <v>26</v>
      </c>
      <c r="F5" s="2" t="s">
        <v>12</v>
      </c>
      <c r="G5" s="2">
        <f t="shared" ca="1" si="0"/>
        <v>2</v>
      </c>
      <c r="H5" s="2"/>
      <c r="I5" s="3" t="s">
        <v>13</v>
      </c>
    </row>
    <row r="6" spans="1:9" x14ac:dyDescent="0.35">
      <c r="A6" s="2" t="s">
        <v>27</v>
      </c>
      <c r="B6" s="3" t="s">
        <v>28</v>
      </c>
      <c r="C6" s="2" t="s">
        <v>16</v>
      </c>
      <c r="D6" s="5">
        <v>46262</v>
      </c>
      <c r="E6" s="2" t="s">
        <v>16</v>
      </c>
      <c r="F6" s="2" t="s">
        <v>12</v>
      </c>
      <c r="G6" s="2">
        <f t="shared" ca="1" si="0"/>
        <v>20</v>
      </c>
      <c r="H6" s="2"/>
      <c r="I6" s="3" t="s">
        <v>13</v>
      </c>
    </row>
    <row r="7" spans="1:9" ht="28" customHeight="1" x14ac:dyDescent="0.35">
      <c r="A7" s="2" t="s">
        <v>29</v>
      </c>
      <c r="B7" s="3" t="s">
        <v>30</v>
      </c>
      <c r="C7" s="2" t="s">
        <v>31</v>
      </c>
      <c r="D7" s="5">
        <v>46269</v>
      </c>
      <c r="E7" s="2" t="s">
        <v>16</v>
      </c>
      <c r="F7" s="2" t="s">
        <v>12</v>
      </c>
      <c r="G7" s="2">
        <f t="shared" ca="1" si="0"/>
        <v>13</v>
      </c>
      <c r="H7" s="2"/>
      <c r="I7" s="3" t="s">
        <v>13</v>
      </c>
    </row>
    <row r="8" spans="1:9" x14ac:dyDescent="0.35">
      <c r="A8" s="2" t="s">
        <v>32</v>
      </c>
      <c r="B8" s="3" t="s">
        <v>33</v>
      </c>
      <c r="C8" s="2" t="s">
        <v>34</v>
      </c>
      <c r="D8" s="4">
        <v>46262</v>
      </c>
      <c r="E8" s="2" t="s">
        <v>16</v>
      </c>
      <c r="F8" s="2" t="s">
        <v>12</v>
      </c>
      <c r="G8" s="2">
        <f t="shared" ca="1" si="0"/>
        <v>20</v>
      </c>
      <c r="H8" s="2"/>
      <c r="I8" s="3" t="s">
        <v>13</v>
      </c>
    </row>
    <row r="9" spans="1:9" ht="28" customHeight="1" x14ac:dyDescent="0.35">
      <c r="A9" s="2" t="s">
        <v>35</v>
      </c>
      <c r="B9" s="3" t="s">
        <v>36</v>
      </c>
      <c r="C9" s="2" t="s">
        <v>37</v>
      </c>
      <c r="D9" s="4">
        <v>46269</v>
      </c>
      <c r="E9" s="2" t="s">
        <v>16</v>
      </c>
      <c r="F9" s="2" t="s">
        <v>12</v>
      </c>
      <c r="G9" s="2">
        <f t="shared" ca="1" si="0"/>
        <v>13</v>
      </c>
      <c r="H9" s="2"/>
      <c r="I9" s="3" t="s">
        <v>38</v>
      </c>
    </row>
    <row r="10" spans="1:9" ht="28" customHeight="1" x14ac:dyDescent="0.35">
      <c r="A10" s="2" t="s">
        <v>39</v>
      </c>
      <c r="B10" s="3" t="s">
        <v>40</v>
      </c>
      <c r="C10" s="2" t="s">
        <v>37</v>
      </c>
      <c r="D10" s="4">
        <v>46269</v>
      </c>
      <c r="E10" s="2" t="s">
        <v>41</v>
      </c>
      <c r="F10" s="2" t="s">
        <v>12</v>
      </c>
      <c r="G10" s="2">
        <f t="shared" ca="1" si="0"/>
        <v>13</v>
      </c>
      <c r="H10" s="2"/>
      <c r="I10" s="3" t="s">
        <v>38</v>
      </c>
    </row>
    <row r="11" spans="1:9" ht="28" customHeight="1" x14ac:dyDescent="0.35">
      <c r="A11" s="2" t="s">
        <v>42</v>
      </c>
      <c r="B11" s="3" t="s">
        <v>43</v>
      </c>
      <c r="C11" s="2" t="s">
        <v>11</v>
      </c>
      <c r="D11" s="4">
        <v>46283</v>
      </c>
      <c r="E11" s="2" t="s">
        <v>11</v>
      </c>
      <c r="F11" s="2" t="s">
        <v>12</v>
      </c>
      <c r="G11" s="2">
        <f t="shared" ca="1" si="0"/>
        <v>-1</v>
      </c>
      <c r="H11" s="2"/>
      <c r="I11" s="3" t="s">
        <v>13</v>
      </c>
    </row>
    <row r="12" spans="1:9" ht="28" customHeight="1" x14ac:dyDescent="0.35">
      <c r="A12" s="2" t="s">
        <v>44</v>
      </c>
      <c r="B12" s="3" t="s">
        <v>45</v>
      </c>
      <c r="C12" s="2" t="s">
        <v>25</v>
      </c>
      <c r="D12" s="4">
        <v>46295</v>
      </c>
      <c r="E12" s="2" t="s">
        <v>16</v>
      </c>
      <c r="F12" s="2" t="s">
        <v>12</v>
      </c>
      <c r="G12" s="2">
        <f t="shared" ca="1" si="0"/>
        <v>-13</v>
      </c>
      <c r="H12" s="2"/>
      <c r="I12" s="3" t="s">
        <v>13</v>
      </c>
    </row>
    <row r="13" spans="1:9" ht="42" customHeight="1" x14ac:dyDescent="0.35">
      <c r="A13" s="2" t="s">
        <v>46</v>
      </c>
      <c r="B13" s="3" t="s">
        <v>47</v>
      </c>
      <c r="C13" s="2" t="s">
        <v>16</v>
      </c>
      <c r="D13" s="4">
        <v>46269</v>
      </c>
      <c r="E13" s="2" t="s">
        <v>16</v>
      </c>
      <c r="F13" s="2" t="s">
        <v>12</v>
      </c>
      <c r="G13" s="2">
        <f t="shared" ca="1" si="0"/>
        <v>13</v>
      </c>
      <c r="H13" s="2"/>
      <c r="I13" s="3" t="s">
        <v>48</v>
      </c>
    </row>
    <row r="14" spans="1:9" ht="28" customHeight="1" x14ac:dyDescent="0.35">
      <c r="A14" s="2" t="s">
        <v>49</v>
      </c>
      <c r="B14" s="3" t="s">
        <v>50</v>
      </c>
      <c r="C14" s="2" t="s">
        <v>51</v>
      </c>
      <c r="D14" s="5"/>
      <c r="E14" s="2" t="s">
        <v>37</v>
      </c>
      <c r="F14" s="2" t="s">
        <v>20</v>
      </c>
      <c r="G14" s="2" t="str">
        <f t="shared" ca="1" si="0"/>
        <v/>
      </c>
      <c r="H14" s="2" t="s">
        <v>52</v>
      </c>
      <c r="I14" s="3" t="s">
        <v>53</v>
      </c>
    </row>
    <row r="15" spans="1:9" ht="42" customHeight="1" x14ac:dyDescent="0.35">
      <c r="A15" s="2" t="s">
        <v>54</v>
      </c>
      <c r="B15" s="3" t="s">
        <v>55</v>
      </c>
      <c r="C15" s="2" t="s">
        <v>37</v>
      </c>
      <c r="D15" s="4">
        <v>46296</v>
      </c>
      <c r="E15" s="2" t="s">
        <v>37</v>
      </c>
      <c r="F15" s="2" t="s">
        <v>12</v>
      </c>
      <c r="G15" s="2">
        <f t="shared" ca="1" si="0"/>
        <v>-14</v>
      </c>
      <c r="H15" s="2"/>
      <c r="I15" s="3" t="s">
        <v>13</v>
      </c>
    </row>
    <row r="16" spans="1:9" ht="28" customHeight="1" x14ac:dyDescent="0.35">
      <c r="A16" s="2" t="s">
        <v>56</v>
      </c>
      <c r="B16" s="3" t="s">
        <v>57</v>
      </c>
      <c r="C16" s="2" t="s">
        <v>51</v>
      </c>
      <c r="D16" s="5">
        <v>46268</v>
      </c>
      <c r="E16" s="2" t="s">
        <v>58</v>
      </c>
      <c r="F16" s="2" t="s">
        <v>20</v>
      </c>
      <c r="G16" s="2" t="str">
        <f t="shared" ca="1" si="0"/>
        <v/>
      </c>
      <c r="H16" s="2" t="s">
        <v>52</v>
      </c>
      <c r="I16" s="3" t="s">
        <v>59</v>
      </c>
    </row>
    <row r="17" spans="1:9" ht="28" customHeight="1" x14ac:dyDescent="0.35">
      <c r="A17" s="2" t="s">
        <v>60</v>
      </c>
      <c r="B17" s="3" t="s">
        <v>61</v>
      </c>
      <c r="C17" s="2" t="s">
        <v>62</v>
      </c>
      <c r="D17" s="5">
        <v>46268</v>
      </c>
      <c r="E17" s="2" t="s">
        <v>58</v>
      </c>
      <c r="F17" s="2" t="s">
        <v>12</v>
      </c>
      <c r="G17" s="2">
        <f t="shared" ca="1" si="0"/>
        <v>14</v>
      </c>
      <c r="H17" s="2"/>
      <c r="I17" s="3" t="s">
        <v>13</v>
      </c>
    </row>
    <row r="18" spans="1:9" x14ac:dyDescent="0.35">
      <c r="A18" s="2" t="s">
        <v>63</v>
      </c>
      <c r="B18" s="3" t="s">
        <v>64</v>
      </c>
      <c r="C18" s="2" t="s">
        <v>65</v>
      </c>
      <c r="D18" s="5">
        <v>46265</v>
      </c>
      <c r="E18" s="2" t="s">
        <v>16</v>
      </c>
      <c r="F18" s="2" t="s">
        <v>12</v>
      </c>
      <c r="G18" s="2">
        <f t="shared" ca="1" si="0"/>
        <v>17</v>
      </c>
      <c r="H18" s="2"/>
      <c r="I18" s="3" t="s">
        <v>13</v>
      </c>
    </row>
    <row r="19" spans="1:9" ht="28" customHeight="1" x14ac:dyDescent="0.35">
      <c r="A19" s="2" t="s">
        <v>66</v>
      </c>
      <c r="B19" s="3" t="s">
        <v>67</v>
      </c>
      <c r="C19" s="2" t="s">
        <v>62</v>
      </c>
      <c r="D19" s="5">
        <v>46262</v>
      </c>
      <c r="E19" s="2" t="s">
        <v>65</v>
      </c>
      <c r="F19" s="2" t="s">
        <v>12</v>
      </c>
      <c r="G19" s="2">
        <f t="shared" ca="1" si="0"/>
        <v>20</v>
      </c>
      <c r="H19" s="2"/>
      <c r="I19" s="3" t="s">
        <v>13</v>
      </c>
    </row>
    <row r="20" spans="1:9" ht="28" customHeight="1" x14ac:dyDescent="0.35">
      <c r="A20" s="2" t="s">
        <v>68</v>
      </c>
      <c r="B20" s="3" t="s">
        <v>69</v>
      </c>
      <c r="C20" s="2" t="s">
        <v>70</v>
      </c>
      <c r="D20" s="5">
        <v>46388</v>
      </c>
      <c r="E20" s="2" t="s">
        <v>16</v>
      </c>
      <c r="F20" s="2" t="s">
        <v>20</v>
      </c>
      <c r="G20" s="2" t="str">
        <f t="shared" ca="1" si="0"/>
        <v/>
      </c>
      <c r="H20" s="2" t="s">
        <v>71</v>
      </c>
      <c r="I20" s="3" t="s">
        <v>13</v>
      </c>
    </row>
    <row r="21" spans="1:9" x14ac:dyDescent="0.35">
      <c r="A21" s="2" t="s">
        <v>72</v>
      </c>
      <c r="B21" s="3" t="s">
        <v>73</v>
      </c>
      <c r="C21" s="2" t="s">
        <v>19</v>
      </c>
      <c r="D21" s="5">
        <v>46262</v>
      </c>
      <c r="E21" s="2" t="s">
        <v>19</v>
      </c>
      <c r="F21" s="2" t="s">
        <v>12</v>
      </c>
      <c r="G21" s="2">
        <f t="shared" ca="1" si="0"/>
        <v>20</v>
      </c>
      <c r="H21" s="2"/>
      <c r="I21" s="3" t="s">
        <v>13</v>
      </c>
    </row>
    <row r="22" spans="1:9" ht="28" customHeight="1" x14ac:dyDescent="0.35">
      <c r="A22" s="2" t="s">
        <v>74</v>
      </c>
      <c r="B22" s="3" t="s">
        <v>75</v>
      </c>
      <c r="C22" s="2" t="s">
        <v>19</v>
      </c>
      <c r="D22" s="4">
        <v>46269</v>
      </c>
      <c r="E22" s="2" t="s">
        <v>19</v>
      </c>
      <c r="F22" s="2" t="s">
        <v>12</v>
      </c>
      <c r="G22" s="2">
        <f t="shared" ca="1" si="0"/>
        <v>13</v>
      </c>
      <c r="H22" s="2"/>
      <c r="I22" s="3" t="s">
        <v>13</v>
      </c>
    </row>
    <row r="23" spans="1:9" ht="28" customHeight="1" x14ac:dyDescent="0.35">
      <c r="A23" s="2" t="s">
        <v>76</v>
      </c>
      <c r="B23" s="3" t="s">
        <v>77</v>
      </c>
      <c r="C23" s="2" t="s">
        <v>65</v>
      </c>
      <c r="D23" s="4">
        <v>46267</v>
      </c>
      <c r="E23" s="2" t="s">
        <v>16</v>
      </c>
      <c r="F23" s="2" t="s">
        <v>12</v>
      </c>
      <c r="G23" s="2">
        <f t="shared" ca="1" si="0"/>
        <v>15</v>
      </c>
      <c r="H23" s="2"/>
      <c r="I23" s="3" t="s">
        <v>13</v>
      </c>
    </row>
    <row r="24" spans="1:9" ht="28" customHeight="1" x14ac:dyDescent="0.35">
      <c r="A24" s="2" t="s">
        <v>78</v>
      </c>
      <c r="B24" s="3" t="s">
        <v>79</v>
      </c>
      <c r="C24" s="2" t="s">
        <v>41</v>
      </c>
      <c r="D24" s="5">
        <v>46269</v>
      </c>
      <c r="E24" s="2" t="s">
        <v>16</v>
      </c>
      <c r="F24" s="2" t="s">
        <v>12</v>
      </c>
      <c r="G24" s="2">
        <f t="shared" ca="1" si="0"/>
        <v>13</v>
      </c>
      <c r="H24" s="2"/>
      <c r="I24" s="3" t="s">
        <v>13</v>
      </c>
    </row>
    <row r="25" spans="1:9" ht="28" customHeight="1" x14ac:dyDescent="0.35">
      <c r="A25" s="2" t="s">
        <v>80</v>
      </c>
      <c r="B25" s="3" t="s">
        <v>81</v>
      </c>
      <c r="C25" s="2" t="s">
        <v>41</v>
      </c>
      <c r="D25" s="5">
        <v>46276</v>
      </c>
      <c r="E25" s="2" t="s">
        <v>16</v>
      </c>
      <c r="F25" s="2" t="s">
        <v>12</v>
      </c>
      <c r="G25" s="2">
        <f t="shared" ca="1" si="0"/>
        <v>6</v>
      </c>
      <c r="H25" s="2"/>
      <c r="I25" s="3" t="s">
        <v>13</v>
      </c>
    </row>
    <row r="26" spans="1:9" x14ac:dyDescent="0.35">
      <c r="A26" s="2" t="s">
        <v>82</v>
      </c>
      <c r="B26" s="3" t="s">
        <v>83</v>
      </c>
      <c r="C26" s="2" t="s">
        <v>84</v>
      </c>
      <c r="D26" s="5">
        <v>46261</v>
      </c>
      <c r="E26" s="2" t="s">
        <v>16</v>
      </c>
      <c r="F26" s="2" t="s">
        <v>12</v>
      </c>
      <c r="G26" s="2">
        <f t="shared" ca="1" si="0"/>
        <v>21</v>
      </c>
      <c r="H26" s="2"/>
      <c r="I26" s="3" t="s">
        <v>13</v>
      </c>
    </row>
    <row r="27" spans="1:9" x14ac:dyDescent="0.35">
      <c r="A27" s="2" t="s">
        <v>85</v>
      </c>
      <c r="B27" s="3" t="s">
        <v>86</v>
      </c>
      <c r="C27" s="2" t="s">
        <v>16</v>
      </c>
      <c r="D27" s="4">
        <v>46262</v>
      </c>
      <c r="E27" s="2" t="s">
        <v>16</v>
      </c>
      <c r="F27" s="2" t="s">
        <v>12</v>
      </c>
      <c r="G27" s="2">
        <f t="shared" ca="1" si="0"/>
        <v>20</v>
      </c>
      <c r="H27" s="2"/>
      <c r="I27" s="3" t="s">
        <v>13</v>
      </c>
    </row>
    <row r="29" spans="1:9" x14ac:dyDescent="0.35">
      <c r="A29" s="6" t="s">
        <v>87</v>
      </c>
    </row>
    <row r="30" spans="1:9" x14ac:dyDescent="0.35">
      <c r="A30" s="7" t="s">
        <v>88</v>
      </c>
    </row>
    <row r="31" spans="1:9" x14ac:dyDescent="0.35">
      <c r="A31" s="8" t="s">
        <v>89</v>
      </c>
    </row>
    <row r="32" spans="1:9" x14ac:dyDescent="0.35">
      <c r="A32" s="7" t="s">
        <v>90</v>
      </c>
    </row>
  </sheetData>
  <conditionalFormatting sqref="G2:G27">
    <cfRule type="expression" dxfId="0" priority="1">
      <formula>AND(ISNUMBER(G2),G2&gt;0)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Rupam Bhattacharjee</cp:lastModifiedBy>
  <dcterms:created xsi:type="dcterms:W3CDTF">2026-09-17T08:24:13Z</dcterms:created>
  <dcterms:modified xsi:type="dcterms:W3CDTF">2026-09-17T08:26:47Z</dcterms:modified>
</cp:coreProperties>
</file>